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R_OP" sheetId="2" state="visible" r:id="rId4"/>
    <sheet name="C_COGS" sheetId="3" state="visible" r:id="rId5"/>
    <sheet name="C_OPEX" sheetId="4" state="visible" r:id="rId6"/>
    <sheet name="R_NONOP" sheetId="5" state="visible" r:id="rId7"/>
    <sheet name="C_NONOP" sheetId="6" state="visible" r:id="rId8"/>
    <sheet name="C_TAX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<sst xmlns="http://schemas.openxmlformats.org/spreadsheetml/2006/main" count="188" uniqueCount="139">
  <si>
    <t xml:space="preserve">Category</t>
  </si>
  <si>
    <t xml:space="preserve">Amount</t>
  </si>
  <si>
    <t xml:space="preserve">Indicator</t>
  </si>
  <si>
    <t xml:space="preserve">Discount Amount</t>
  </si>
  <si>
    <t xml:space="preserve">Non Operational Expenses</t>
  </si>
  <si>
    <t xml:space="preserve">Cost Of Goods Sold</t>
  </si>
  <si>
    <t xml:space="preserve">Operational Expenses</t>
  </si>
  <si>
    <t xml:space="preserve">Non Operational Revenue</t>
  </si>
  <si>
    <t xml:space="preserve">🔘</t>
  </si>
  <si>
    <t xml:space="preserve">Gross Profit</t>
  </si>
  <si>
    <t xml:space="preserve">Earning Before Interest and Taxes</t>
  </si>
  <si>
    <t xml:space="preserve">Earning Before Tax</t>
  </si>
  <si>
    <t xml:space="preserve">Net Profit</t>
  </si>
  <si>
    <t xml:space="preserve">p.s. ATM no deductions, only flat rate</t>
  </si>
  <si>
    <t xml:space="preserve">Gross Profit Margin</t>
  </si>
  <si>
    <t xml:space="preserve">Operational Profit Margin</t>
  </si>
  <si>
    <t xml:space="preserve">Net Profit Margin</t>
  </si>
  <si>
    <t xml:space="preserve">Label</t>
  </si>
  <si>
    <t xml:space="preserve">Product Sales Revenue</t>
  </si>
  <si>
    <t xml:space="preserve">Services Revenue</t>
  </si>
  <si>
    <t xml:space="preserve">Contract Revenue</t>
  </si>
  <si>
    <t xml:space="preserve">Rental &amp; Leasing Revenue</t>
  </si>
  <si>
    <t xml:space="preserve">Subscription Revenue</t>
  </si>
  <si>
    <t xml:space="preserve">Commission Revenue</t>
  </si>
  <si>
    <t xml:space="preserve">Commission &amp; Brokerage Revenue</t>
  </si>
  <si>
    <t xml:space="preserve">Licensing &amp; Royalty Revenue</t>
  </si>
  <si>
    <t xml:space="preserve">TOTAL</t>
  </si>
  <si>
    <t xml:space="preserve">Direct Materials</t>
  </si>
  <si>
    <t xml:space="preserve">Production</t>
  </si>
  <si>
    <t xml:space="preserve">Merchandise Purchase Cost</t>
  </si>
  <si>
    <t xml:space="preserve">Direct Production Labor</t>
  </si>
  <si>
    <t xml:space="preserve">Labor</t>
  </si>
  <si>
    <t xml:space="preserve">Direct Service Labor</t>
  </si>
  <si>
    <t xml:space="preserve">Manufacturing Costs</t>
  </si>
  <si>
    <t xml:space="preserve">Transportation</t>
  </si>
  <si>
    <t xml:space="preserve">Logistics</t>
  </si>
  <si>
    <t xml:space="preserve">Non-Recoverable Acquisition Taxes</t>
  </si>
  <si>
    <t xml:space="preserve">p.s. based on main gross margin/which is dependent on chosen Operational Revenue</t>
  </si>
  <si>
    <t xml:space="preserve">Merchandise Example</t>
  </si>
  <si>
    <t xml:space="preserve">Quantity Example</t>
  </si>
  <si>
    <t xml:space="preserve">Unit</t>
  </si>
  <si>
    <t xml:space="preserve">Unit Cost</t>
  </si>
  <si>
    <t xml:space="preserve">Unit Price</t>
  </si>
  <si>
    <t xml:space="preserve">p.s. uniform markup allocation (same gross margin for each product)</t>
  </si>
  <si>
    <t xml:space="preserve">Built-in Furniture</t>
  </si>
  <si>
    <t xml:space="preserve">pcs</t>
  </si>
  <si>
    <t xml:space="preserve">Freestanding Furniture</t>
  </si>
  <si>
    <t xml:space="preserve">Lighting</t>
  </si>
  <si>
    <t xml:space="preserve">Sanitary Equipment</t>
  </si>
  <si>
    <t xml:space="preserve">Parquet &amp; Flooring</t>
  </si>
  <si>
    <t xml:space="preserve">m²</t>
  </si>
  <si>
    <t xml:space="preserve">Mirrors</t>
  </si>
  <si>
    <t xml:space="preserve">Doors</t>
  </si>
  <si>
    <t xml:space="preserve">Textiles</t>
  </si>
  <si>
    <t xml:space="preserve">Outdoor Equipment</t>
  </si>
  <si>
    <t xml:space="preserve">Smart Solutions</t>
  </si>
  <si>
    <t xml:space="preserve">sets</t>
  </si>
  <si>
    <t xml:space="preserve">Direct Materials Example</t>
  </si>
  <si>
    <t xml:space="preserve">Stone</t>
  </si>
  <si>
    <t xml:space="preserve">Glass</t>
  </si>
  <si>
    <t xml:space="preserve">Metal</t>
  </si>
  <si>
    <t xml:space="preserve">kg</t>
  </si>
  <si>
    <t xml:space="preserve">Wood</t>
  </si>
  <si>
    <t xml:space="preserve">Direct Production Labor Example</t>
  </si>
  <si>
    <t xml:space="preserve">Furniture Installer</t>
  </si>
  <si>
    <t xml:space="preserve">Carpenter</t>
  </si>
  <si>
    <t xml:space="preserve">Stone Installer</t>
  </si>
  <si>
    <t xml:space="preserve">Electrician</t>
  </si>
  <si>
    <t xml:space="preserve">Plumber</t>
  </si>
  <si>
    <t xml:space="preserve">Flooring Installer</t>
  </si>
  <si>
    <t xml:space="preserve">Door Installer</t>
  </si>
  <si>
    <t xml:space="preserve">Metalworker / Metal Installer</t>
  </si>
  <si>
    <t xml:space="preserve">Glass Installer</t>
  </si>
  <si>
    <t xml:space="preserve">Manufacturing Costs Example</t>
  </si>
  <si>
    <t xml:space="preserve">Factory Rent</t>
  </si>
  <si>
    <t xml:space="preserve">Factory Insurance</t>
  </si>
  <si>
    <t xml:space="preserve">Quality Control</t>
  </si>
  <si>
    <t xml:space="preserve">Transportation Example</t>
  </si>
  <si>
    <t xml:space="preserve">China Inland Transport</t>
  </si>
  <si>
    <t xml:space="preserve">International Ocean Transport</t>
  </si>
  <si>
    <t xml:space="preserve">Europe Inland Transport to Project Site</t>
  </si>
  <si>
    <t xml:space="preserve">Cargo Insurance</t>
  </si>
  <si>
    <t xml:space="preserve">Import Duties &amp; Tariffs</t>
  </si>
  <si>
    <t xml:space="preserve">Non-Recoverable Acquisition Taxes Example</t>
  </si>
  <si>
    <t xml:space="preserve">Environmental Fee</t>
  </si>
  <si>
    <t xml:space="preserve">Employee Salaries</t>
  </si>
  <si>
    <t xml:space="preserve">Personnel</t>
  </si>
  <si>
    <t xml:space="preserve">Research &amp; Development</t>
  </si>
  <si>
    <t xml:space="preserve">Advertising &amp; Marketing Expenses</t>
  </si>
  <si>
    <t xml:space="preserve">Services</t>
  </si>
  <si>
    <t xml:space="preserve">Accounting &amp; Bookkeeping Fees</t>
  </si>
  <si>
    <t xml:space="preserve">Legal &amp; Attorney Fees</t>
  </si>
  <si>
    <t xml:space="preserve">Licensing &amp; Permit Fees</t>
  </si>
  <si>
    <t xml:space="preserve">Office Rent</t>
  </si>
  <si>
    <t xml:space="preserve">Facilities</t>
  </si>
  <si>
    <t xml:space="preserve">Office Expenses</t>
  </si>
  <si>
    <t xml:space="preserve">Utilities</t>
  </si>
  <si>
    <t xml:space="preserve">Insurance Expenses</t>
  </si>
  <si>
    <t xml:space="preserve">Travel Expenses</t>
  </si>
  <si>
    <t xml:space="preserve">Vehicle Expenses</t>
  </si>
  <si>
    <t xml:space="preserve">p.s. ; no per project allocation (amortization)</t>
  </si>
  <si>
    <t xml:space="preserve">Employee Salaries Example</t>
  </si>
  <si>
    <t xml:space="preserve">Person A</t>
  </si>
  <si>
    <t xml:space="preserve">Person B</t>
  </si>
  <si>
    <t xml:space="preserve">Person C</t>
  </si>
  <si>
    <t xml:space="preserve">Person D</t>
  </si>
  <si>
    <t xml:space="preserve">Person E</t>
  </si>
  <si>
    <t xml:space="preserve">Accounting &amp; Bookkeeping Fees Example</t>
  </si>
  <si>
    <t xml:space="preserve">Accounting Fee</t>
  </si>
  <si>
    <t xml:space="preserve">Licensing &amp; Permit Fees Example</t>
  </si>
  <si>
    <t xml:space="preserve">Microsoft 365 License</t>
  </si>
  <si>
    <t xml:space="preserve">Microsoft Windows License</t>
  </si>
  <si>
    <t xml:space="preserve">Autodesk AutoCAD License</t>
  </si>
  <si>
    <t xml:space="preserve">Autodesk Revit License</t>
  </si>
  <si>
    <t xml:space="preserve">Adobe License</t>
  </si>
  <si>
    <t xml:space="preserve">Office Expenses Example</t>
  </si>
  <si>
    <t xml:space="preserve">Office Supplies</t>
  </si>
  <si>
    <t xml:space="preserve">Printing &amp; Copying</t>
  </si>
  <si>
    <t xml:space="preserve">Stationery</t>
  </si>
  <si>
    <t xml:space="preserve">Postage &amp; Shipping</t>
  </si>
  <si>
    <t xml:space="preserve">Cleaning Supplies</t>
  </si>
  <si>
    <t xml:space="preserve">Insurance Expenses Example</t>
  </si>
  <si>
    <t xml:space="preserve">General Liability Insurance</t>
  </si>
  <si>
    <t xml:space="preserve">Property Insurance</t>
  </si>
  <si>
    <t xml:space="preserve">Travel Expenses Example</t>
  </si>
  <si>
    <t xml:space="preserve">Germany Business Travel</t>
  </si>
  <si>
    <t xml:space="preserve">Italy Business Travel</t>
  </si>
  <si>
    <t xml:space="preserve">Interest Income</t>
  </si>
  <si>
    <t xml:space="preserve">Dividend Income</t>
  </si>
  <si>
    <t xml:space="preserve">Investment Gain</t>
  </si>
  <si>
    <t xml:space="preserve">Gains on Financial Instruments</t>
  </si>
  <si>
    <t xml:space="preserve">Foreign Exchange Gains</t>
  </si>
  <si>
    <t xml:space="preserve">Gains on Disposal of Non-Operating Assets</t>
  </si>
  <si>
    <t xml:space="preserve">Debt Interest</t>
  </si>
  <si>
    <t xml:space="preserve">Investment Losses</t>
  </si>
  <si>
    <t xml:space="preserve">Losses on Financial Instruments</t>
  </si>
  <si>
    <t xml:space="preserve">Foreign Exchange Losses</t>
  </si>
  <si>
    <t xml:space="preserve">Losses on Disposal of Non-Operating Assets</t>
  </si>
  <si>
    <t xml:space="preserve">TODO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</si>
</sst>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€-424];[RED]\-#,##0.00\ [$€-424]"/>
    <numFmt numFmtId="166" formatCode="0.00%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4"/>
      <name val="Arial"/>
      <family val="2"/>
      <charset val="1"/>
    </font>
    <font>
      <i val="true"/>
      <sz val="10"/>
      <name val="Arial"/>
      <family val="2"/>
    </font>
    <font>
      <i val="true"/>
      <sz val="14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i val="true"/>
      <sz val="14"/>
      <color rgb="FF468A1A"/>
      <name val="Arial"/>
      <family val="2"/>
      <charset val="1"/>
    </font>
    <font>
      <sz val="10"/>
      <color rgb="FFB2B2B2"/>
      <name val="Arial"/>
      <family val="2"/>
      <charset val="1"/>
    </font>
    <font>
      <sz val="10"/>
      <name val="Arial"/>
      <family val="2"/>
      <charset val="1"/>
    </font>
    <font>
      <sz val="14"/>
      <name val="Arial"/>
      <family val="2"/>
      <charset val="1"/>
    </font>
    <font>
      <i val="true"/>
      <sz val="14"/>
      <name val="Arial"/>
      <family val="2"/>
    </font>
    <font>
      <b val="true"/>
      <i val="true"/>
      <sz val="14"/>
      <color rgb="FF000000"/>
      <name val="Arial"/>
      <family val="2"/>
      <charset val="1"/>
    </font>
    <font>
      <i val="true"/>
      <sz val="14"/>
      <color rgb="FF000000"/>
      <name val="Arial"/>
      <family val="2"/>
      <charset val="1"/>
    </font>
    <font>
      <b val="true"/>
      <i val="true"/>
      <sz val="1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5CE"/>
        <bgColor rgb="FFF6F9D4"/>
      </patternFill>
    </fill>
    <fill>
      <patternFill patternType="solid">
        <fgColor rgb="FFFFFFD7"/>
        <bgColor rgb="FFF6F9D4"/>
      </patternFill>
    </fill>
    <fill>
      <patternFill patternType="solid">
        <fgColor rgb="FFEEEEEE"/>
        <bgColor rgb="FFDEE6EF"/>
      </patternFill>
    </fill>
    <fill>
      <patternFill patternType="solid">
        <fgColor rgb="FFFFD8CE"/>
        <bgColor rgb="FFEEEEEE"/>
      </patternFill>
    </fill>
    <fill>
      <patternFill patternType="solid">
        <fgColor rgb="FFDEE6EF"/>
        <bgColor rgb="FFEEEEEE"/>
      </patternFill>
    </fill>
    <fill>
      <patternFill patternType="solid">
        <fgColor rgb="FFF6F9D4"/>
        <bgColor rgb="FFFFF5CE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9D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5CE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68A1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4" activeCellId="0" sqref="E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4.13"/>
    <col collapsed="false" customWidth="true" hidden="false" outlineLevel="0" max="2" min="2" style="0" width="30.73"/>
    <col collapsed="false" customWidth="true" hidden="false" outlineLevel="0" max="3" min="3" style="0" width="18.59"/>
    <col collapsed="false" customWidth="true" hidden="false" outlineLevel="0" max="4" min="4" style="0" width="36.8"/>
  </cols>
  <sheetData>
    <row r="1" customFormat="false" ht="17.35" hidden="false" customHeight="false" outlineLevel="0" collapsed="false">
      <c r="A1" s="1" t="s">
        <v>0</v>
      </c>
      <c r="B1" s="2" t="s">
        <v>1</v>
      </c>
      <c r="C1" s="3" t="s">
        <v>2</v>
      </c>
      <c r="D1" s="4"/>
      <c r="E1" s="4"/>
    </row>
    <row r="2" customFormat="false" ht="17.35" hidden="false" customHeight="false" outlineLevel="0" collapsed="false">
      <c r="A2" s="5" t="s">
        <v>3</v>
      </c>
      <c r="B2" s="6" t="n">
        <v>0.05</v>
      </c>
      <c r="C2" s="7" t="n">
        <f aca="false">1 -(B4 + B5 + B7)/(R_OP!B10 + B6)</f>
        <v>0.16172</v>
      </c>
      <c r="D2" s="4"/>
      <c r="E2" s="4"/>
    </row>
    <row r="3" customFormat="false" ht="17.35" hidden="false" customHeight="false" outlineLevel="0" collapsed="false">
      <c r="A3" s="8" t="s">
        <v>4</v>
      </c>
      <c r="B3" s="9" t="n">
        <f aca="false">(R_OP!B10)*(1-B2)</f>
        <v>475000</v>
      </c>
      <c r="C3" s="10" t="str">
        <f aca="false">IF((B3 + B6 ) &gt; (B4 + B5 + B7 ),"🟢","🔴")</f>
        <v>🟢</v>
      </c>
      <c r="D3" s="4"/>
      <c r="E3" s="4"/>
    </row>
    <row r="4" customFormat="false" ht="17.35" hidden="false" customHeight="false" outlineLevel="0" collapsed="false">
      <c r="A4" s="8" t="s">
        <v>5</v>
      </c>
      <c r="B4" s="11" t="n">
        <f aca="false">C_COGS!C9</f>
        <v>402850</v>
      </c>
      <c r="C4" s="10" t="str">
        <f aca="false">IF((B3 + B6 ) &gt; (B4 + B5 + B7 ),"🟢","🔴")</f>
        <v>🟢</v>
      </c>
      <c r="D4" s="4"/>
      <c r="E4" s="4"/>
    </row>
    <row r="5" customFormat="false" ht="17.35" hidden="false" customHeight="false" outlineLevel="0" collapsed="false">
      <c r="A5" s="8" t="s">
        <v>6</v>
      </c>
      <c r="B5" s="11" t="n">
        <f aca="false">C_OPEX!C13</f>
        <v>16290</v>
      </c>
      <c r="C5" s="10" t="str">
        <f aca="false">IF((B3 + B6 ) &gt; (B4 + B5 + B7 ),"🟢","🔴")</f>
        <v>🟢</v>
      </c>
      <c r="D5" s="4"/>
      <c r="E5" s="4"/>
    </row>
    <row r="6" customFormat="false" ht="17.35" hidden="false" customHeight="false" outlineLevel="0" collapsed="false">
      <c r="A6" s="8" t="s">
        <v>7</v>
      </c>
      <c r="B6" s="11" t="n">
        <f aca="false">R_NONOP!B7</f>
        <v>0</v>
      </c>
      <c r="C6" s="10" t="s">
        <v>8</v>
      </c>
      <c r="D6" s="4"/>
      <c r="E6" s="4"/>
    </row>
    <row r="7" customFormat="false" ht="17.35" hidden="false" customHeight="false" outlineLevel="0" collapsed="false">
      <c r="A7" s="12" t="s">
        <v>4</v>
      </c>
      <c r="B7" s="13" t="n">
        <f aca="false">C_NONOP!B7</f>
        <v>0</v>
      </c>
      <c r="C7" s="14" t="str">
        <f aca="false">IF((B3 + B6 ) &gt; (B4 + B5 + B7 ),"🟢","🔴")</f>
        <v>🟢</v>
      </c>
      <c r="D7" s="4"/>
      <c r="E7" s="4"/>
    </row>
    <row r="8" customFormat="false" ht="17.35" hidden="false" customHeight="false" outlineLevel="0" collapsed="false">
      <c r="A8" s="15" t="s">
        <v>9</v>
      </c>
      <c r="B8" s="16" t="n">
        <f aca="false">B3 - B4</f>
        <v>72150</v>
      </c>
      <c r="C8" s="17" t="str">
        <f aca="false">IF((B3 + B6 ) &gt; (B4 + B5 + B7 ),"🟢","🔴")</f>
        <v>🟢</v>
      </c>
      <c r="D8" s="4"/>
      <c r="E8" s="4"/>
    </row>
    <row r="9" customFormat="false" ht="17.35" hidden="false" customHeight="false" outlineLevel="0" collapsed="false">
      <c r="A9" s="18" t="s">
        <v>10</v>
      </c>
      <c r="B9" s="19" t="n">
        <f aca="false">B8 -B5</f>
        <v>55860</v>
      </c>
      <c r="C9" s="20" t="str">
        <f aca="false">IF((B3 + B6 ) &gt; (B4 + B5 + B7 ),"🟢","🔴")</f>
        <v>🟢</v>
      </c>
      <c r="D9" s="4"/>
      <c r="E9" s="4"/>
    </row>
    <row r="10" customFormat="false" ht="17.35" hidden="false" customHeight="false" outlineLevel="0" collapsed="false">
      <c r="A10" s="18" t="s">
        <v>11</v>
      </c>
      <c r="B10" s="19" t="n">
        <f aca="false">B9 + B6</f>
        <v>55860</v>
      </c>
      <c r="C10" s="20" t="str">
        <f aca="false">IF((B3 + B6 ) &gt; (B4 + B5 + B7 ),"🟢","🔴")</f>
        <v>🟢</v>
      </c>
      <c r="D10" s="4"/>
      <c r="E10" s="4"/>
    </row>
    <row r="11" customFormat="false" ht="17.35" hidden="false" customHeight="false" outlineLevel="0" collapsed="false">
      <c r="A11" s="21" t="s">
        <v>12</v>
      </c>
      <c r="B11" s="22" t="n">
        <f aca="false">0.78*(B10)</f>
        <v>43570.8</v>
      </c>
      <c r="C11" s="23" t="str">
        <f aca="false">IF((B3 + B6 ) &gt; (B4 + B5 + B7 ),"🟢","🔴")</f>
        <v>🟢</v>
      </c>
      <c r="D11" s="4" t="s">
        <v>13</v>
      </c>
      <c r="E11" s="4"/>
    </row>
    <row r="12" customFormat="false" ht="17.35" hidden="false" customHeight="false" outlineLevel="0" collapsed="false">
      <c r="A12" s="24" t="s">
        <v>14</v>
      </c>
      <c r="B12" s="25" t="n">
        <f aca="false">B8/B3</f>
        <v>0.151894736842105</v>
      </c>
      <c r="C12" s="17" t="str">
        <f aca="false">IF((B3 + B6 ) &gt; (B4 + B5 + B7 ),"🟢","🔴")</f>
        <v>🟢</v>
      </c>
      <c r="D12" s="4"/>
      <c r="E12" s="4"/>
    </row>
    <row r="13" customFormat="false" ht="17.35" hidden="false" customHeight="false" outlineLevel="0" collapsed="false">
      <c r="A13" s="26" t="s">
        <v>15</v>
      </c>
      <c r="B13" s="27" t="n">
        <f aca="false">B9/B3</f>
        <v>0.1176</v>
      </c>
      <c r="C13" s="20" t="str">
        <f aca="false">IF((B3 + B6 ) &gt; (B4 + B5 + B7 ),"🟢","🔴")</f>
        <v>🟢</v>
      </c>
      <c r="D13" s="4"/>
      <c r="E13" s="4"/>
    </row>
    <row r="14" customFormat="false" ht="17.35" hidden="false" customHeight="false" outlineLevel="0" collapsed="false">
      <c r="A14" s="28" t="s">
        <v>16</v>
      </c>
      <c r="B14" s="29" t="n">
        <f aca="false">B11/B3</f>
        <v>0.091728</v>
      </c>
      <c r="C14" s="23" t="str">
        <f aca="false">IF((B3 + B6 ) &gt; (B4 + B5 + B7 ),"🟢","🔴")</f>
        <v>🟢</v>
      </c>
      <c r="D14" s="4"/>
      <c r="E1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1" activeCellId="0" sqref="A21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30" width="46.42"/>
    <col collapsed="false" customWidth="true" hidden="false" outlineLevel="0" max="2" min="2" style="30" width="19.09"/>
    <col collapsed="false" customWidth="true" hidden="false" outlineLevel="0" max="3" min="3" style="30" width="19.6"/>
    <col collapsed="false" customWidth="false" hidden="false" outlineLevel="0" max="16384" min="4" style="30" width="11.53"/>
  </cols>
  <sheetData>
    <row r="1" customFormat="false" ht="17.35" hidden="false" customHeight="false" outlineLevel="0" collapsed="false">
      <c r="A1" s="3" t="s">
        <v>17</v>
      </c>
      <c r="B1" s="3" t="s">
        <v>1</v>
      </c>
    </row>
    <row r="2" customFormat="false" ht="17.35" hidden="false" customHeight="false" outlineLevel="0" collapsed="false">
      <c r="A2" s="31" t="s">
        <v>18</v>
      </c>
      <c r="B2" s="32" t="n">
        <v>500000</v>
      </c>
    </row>
    <row r="3" customFormat="false" ht="17.35" hidden="false" customHeight="false" outlineLevel="0" collapsed="false">
      <c r="A3" s="31" t="s">
        <v>19</v>
      </c>
      <c r="B3" s="32" t="n">
        <v>0</v>
      </c>
    </row>
    <row r="4" customFormat="false" ht="17.35" hidden="false" customHeight="false" outlineLevel="0" collapsed="false">
      <c r="A4" s="31" t="s">
        <v>20</v>
      </c>
      <c r="B4" s="32" t="n">
        <v>0</v>
      </c>
    </row>
    <row r="5" customFormat="false" ht="17.35" hidden="false" customHeight="false" outlineLevel="0" collapsed="false">
      <c r="A5" s="31" t="s">
        <v>21</v>
      </c>
      <c r="B5" s="32" t="n">
        <v>0</v>
      </c>
    </row>
    <row r="6" customFormat="false" ht="17.35" hidden="false" customHeight="false" outlineLevel="0" collapsed="false">
      <c r="A6" s="31" t="s">
        <v>22</v>
      </c>
      <c r="B6" s="32" t="n">
        <v>0</v>
      </c>
    </row>
    <row r="7" customFormat="false" ht="17.35" hidden="false" customHeight="false" outlineLevel="0" collapsed="false">
      <c r="A7" s="31" t="s">
        <v>23</v>
      </c>
      <c r="B7" s="32" t="n">
        <v>0</v>
      </c>
    </row>
    <row r="8" customFormat="false" ht="17.35" hidden="false" customHeight="false" outlineLevel="0" collapsed="false">
      <c r="A8" s="31" t="s">
        <v>24</v>
      </c>
      <c r="B8" s="32" t="n">
        <v>0</v>
      </c>
    </row>
    <row r="9" customFormat="false" ht="17.35" hidden="false" customHeight="false" outlineLevel="0" collapsed="false">
      <c r="A9" s="33" t="s">
        <v>25</v>
      </c>
      <c r="B9" s="34" t="n">
        <v>0</v>
      </c>
    </row>
    <row r="10" customFormat="false" ht="17.35" hidden="false" customHeight="false" outlineLevel="0" collapsed="false">
      <c r="A10" s="35" t="s">
        <v>26</v>
      </c>
      <c r="B10" s="36" t="n">
        <f aca="false">SUM(B2:B9)</f>
        <v>500000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1" activeCellId="0" sqref="B11"/>
    </sheetView>
  </sheetViews>
  <sheetFormatPr defaultColWidth="11.53515625" defaultRowHeight="17.35" zeroHeight="false" outlineLevelRow="0" outlineLevelCol="0"/>
  <cols>
    <col collapsed="false" customWidth="true" hidden="false" outlineLevel="0" max="2" min="1" style="30" width="59.82"/>
    <col collapsed="false" customWidth="true" hidden="false" outlineLevel="0" max="3" min="3" style="30" width="25.8"/>
    <col collapsed="false" customWidth="true" hidden="false" outlineLevel="0" max="4" min="4" style="30" width="14.79"/>
    <col collapsed="false" customWidth="true" hidden="false" outlineLevel="0" max="5" min="5" style="30" width="19.86"/>
    <col collapsed="false" customWidth="true" hidden="false" outlineLevel="0" max="6" min="6" style="30" width="16.69"/>
    <col collapsed="false" customWidth="true" hidden="false" outlineLevel="0" max="7" min="7" style="30" width="105.1"/>
    <col collapsed="false" customWidth="false" hidden="false" outlineLevel="0" max="16384" min="8" style="30" width="11.53"/>
  </cols>
  <sheetData>
    <row r="1" customFormat="false" ht="17.35" hidden="false" customHeight="false" outlineLevel="0" collapsed="false">
      <c r="A1" s="3" t="s">
        <v>17</v>
      </c>
      <c r="B1" s="3" t="s">
        <v>0</v>
      </c>
      <c r="C1" s="3" t="s">
        <v>1</v>
      </c>
    </row>
    <row r="2" customFormat="false" ht="17.35" hidden="false" customHeight="false" outlineLevel="0" collapsed="false">
      <c r="A2" s="31" t="s">
        <v>27</v>
      </c>
      <c r="B2" s="31" t="s">
        <v>28</v>
      </c>
      <c r="C2" s="19" t="n">
        <f aca="false">SUM(B26:B29)</f>
        <v>42000</v>
      </c>
    </row>
    <row r="3" customFormat="false" ht="17.35" hidden="false" customHeight="false" outlineLevel="0" collapsed="false">
      <c r="A3" s="37" t="s">
        <v>29</v>
      </c>
      <c r="B3" s="31" t="s">
        <v>28</v>
      </c>
      <c r="C3" s="19" t="n">
        <f aca="false">SUM(B14:B23)</f>
        <v>270000</v>
      </c>
    </row>
    <row r="4" customFormat="false" ht="17.35" hidden="false" customHeight="false" outlineLevel="0" collapsed="false">
      <c r="A4" s="37" t="s">
        <v>30</v>
      </c>
      <c r="B4" s="31" t="s">
        <v>31</v>
      </c>
      <c r="C4" s="19" t="n">
        <f aca="false">SUM(B32:B40)</f>
        <v>49000</v>
      </c>
    </row>
    <row r="5" customFormat="false" ht="17.35" hidden="false" customHeight="false" outlineLevel="0" collapsed="false">
      <c r="A5" s="37" t="s">
        <v>32</v>
      </c>
      <c r="B5" s="31" t="s">
        <v>31</v>
      </c>
      <c r="C5" s="19" t="n">
        <v>0</v>
      </c>
    </row>
    <row r="6" customFormat="false" ht="17.35" hidden="false" customHeight="false" outlineLevel="0" collapsed="false">
      <c r="A6" s="31" t="s">
        <v>33</v>
      </c>
      <c r="B6" s="31" t="s">
        <v>28</v>
      </c>
      <c r="C6" s="19" t="n">
        <f aca="false">SUM(B43:B45)</f>
        <v>3850</v>
      </c>
    </row>
    <row r="7" customFormat="false" ht="17.35" hidden="false" customHeight="false" outlineLevel="0" collapsed="false">
      <c r="A7" s="31" t="s">
        <v>34</v>
      </c>
      <c r="B7" s="31" t="s">
        <v>35</v>
      </c>
      <c r="C7" s="19" t="n">
        <f aca="false">SUM(B48:B52)</f>
        <v>37000</v>
      </c>
    </row>
    <row r="8" customFormat="false" ht="17.35" hidden="false" customHeight="false" outlineLevel="0" collapsed="false">
      <c r="A8" s="33" t="s">
        <v>36</v>
      </c>
      <c r="B8" s="31" t="s">
        <v>35</v>
      </c>
      <c r="C8" s="22" t="n">
        <f aca="false">SUM(B55)</f>
        <v>1000</v>
      </c>
    </row>
    <row r="9" customFormat="false" ht="17.35" hidden="false" customHeight="false" outlineLevel="0" collapsed="false">
      <c r="A9" s="35" t="s">
        <v>26</v>
      </c>
      <c r="B9" s="35"/>
      <c r="C9" s="36" t="n">
        <f aca="false">SUM(C2:C8)</f>
        <v>402850</v>
      </c>
    </row>
    <row r="10" customFormat="false" ht="17.35" hidden="false" customHeight="false" outlineLevel="0" collapsed="false">
      <c r="A10" s="0"/>
      <c r="B10" s="0"/>
      <c r="C10" s="0"/>
    </row>
    <row r="11" customFormat="false" ht="17.35" hidden="false" customHeight="false" outlineLevel="0" collapsed="false">
      <c r="A11" s="0"/>
      <c r="B11" s="0"/>
      <c r="C11" s="0"/>
    </row>
    <row r="12" customFormat="false" ht="17.35" hidden="false" customHeight="false" outlineLevel="0" collapsed="false">
      <c r="C12" s="38"/>
      <c r="G12" s="30" t="s">
        <v>37</v>
      </c>
    </row>
    <row r="13" customFormat="false" ht="17.35" hidden="false" customHeight="false" outlineLevel="0" collapsed="false">
      <c r="A13" s="39" t="s">
        <v>38</v>
      </c>
      <c r="B13" s="39" t="s">
        <v>1</v>
      </c>
      <c r="C13" s="40" t="s">
        <v>39</v>
      </c>
      <c r="D13" s="39" t="s">
        <v>40</v>
      </c>
      <c r="E13" s="39" t="s">
        <v>41</v>
      </c>
      <c r="F13" s="39" t="s">
        <v>42</v>
      </c>
      <c r="G13" s="30" t="s">
        <v>43</v>
      </c>
      <c r="I13" s="0"/>
      <c r="J13" s="0"/>
    </row>
    <row r="14" customFormat="false" ht="17.35" hidden="false" customHeight="false" outlineLevel="0" collapsed="false">
      <c r="A14" s="30" t="s">
        <v>44</v>
      </c>
      <c r="B14" s="38" t="n">
        <v>92500</v>
      </c>
      <c r="C14" s="41" t="n">
        <v>25</v>
      </c>
      <c r="D14" s="41" t="s">
        <v>45</v>
      </c>
      <c r="E14" s="38" t="n">
        <f aca="false">B14/C14</f>
        <v>3700</v>
      </c>
      <c r="F14" s="38" t="n">
        <f aca="false">E14*(1 + MAIN!B12)</f>
        <v>4262.01052631579</v>
      </c>
      <c r="I14" s="0"/>
      <c r="J14" s="0"/>
    </row>
    <row r="15" customFormat="false" ht="17.35" hidden="false" customHeight="false" outlineLevel="0" collapsed="false">
      <c r="A15" s="30" t="s">
        <v>46</v>
      </c>
      <c r="B15" s="38" t="n">
        <v>48750</v>
      </c>
      <c r="C15" s="41" t="n">
        <v>75</v>
      </c>
      <c r="D15" s="41" t="s">
        <v>45</v>
      </c>
      <c r="E15" s="38" t="n">
        <f aca="false">B15/C15</f>
        <v>650</v>
      </c>
      <c r="F15" s="38" t="n">
        <f aca="false">E15*(1 + MAIN!B13)</f>
        <v>726.44</v>
      </c>
      <c r="I15" s="0"/>
      <c r="J15" s="0"/>
    </row>
    <row r="16" customFormat="false" ht="17.35" hidden="false" customHeight="false" outlineLevel="0" collapsed="false">
      <c r="A16" s="30" t="s">
        <v>47</v>
      </c>
      <c r="B16" s="38" t="n">
        <v>21750</v>
      </c>
      <c r="C16" s="41" t="n">
        <v>50</v>
      </c>
      <c r="D16" s="41" t="s">
        <v>45</v>
      </c>
      <c r="E16" s="38" t="n">
        <f aca="false">B16/C16</f>
        <v>435</v>
      </c>
      <c r="F16" s="38" t="n">
        <f aca="false">E16*(1 + MAIN!B14)</f>
        <v>474.90168</v>
      </c>
      <c r="I16" s="0"/>
      <c r="J16" s="0"/>
    </row>
    <row r="17" customFormat="false" ht="17.35" hidden="false" customHeight="false" outlineLevel="0" collapsed="false">
      <c r="A17" s="30" t="s">
        <v>48</v>
      </c>
      <c r="B17" s="38" t="n">
        <v>18500</v>
      </c>
      <c r="C17" s="41" t="n">
        <v>25</v>
      </c>
      <c r="D17" s="41" t="s">
        <v>45</v>
      </c>
      <c r="E17" s="38" t="n">
        <f aca="false">B17/C17</f>
        <v>740</v>
      </c>
      <c r="F17" s="38" t="n">
        <f aca="false">E17*(1 + MAIN!B15)</f>
        <v>740</v>
      </c>
      <c r="I17" s="0"/>
      <c r="J17" s="0"/>
    </row>
    <row r="18" customFormat="false" ht="17.35" hidden="false" customHeight="false" outlineLevel="0" collapsed="false">
      <c r="A18" s="30" t="s">
        <v>49</v>
      </c>
      <c r="B18" s="38" t="n">
        <v>24500</v>
      </c>
      <c r="C18" s="41" t="n">
        <v>350</v>
      </c>
      <c r="D18" s="41" t="s">
        <v>50</v>
      </c>
      <c r="E18" s="38" t="n">
        <f aca="false">B18/C18</f>
        <v>70</v>
      </c>
      <c r="F18" s="38" t="n">
        <f aca="false">E18*(1 + MAIN!B16)</f>
        <v>70</v>
      </c>
      <c r="I18" s="0"/>
      <c r="J18" s="0"/>
    </row>
    <row r="19" customFormat="false" ht="17.35" hidden="false" customHeight="false" outlineLevel="0" collapsed="false">
      <c r="A19" s="30" t="s">
        <v>51</v>
      </c>
      <c r="B19" s="38" t="n">
        <v>9500</v>
      </c>
      <c r="C19" s="41" t="n">
        <v>25</v>
      </c>
      <c r="D19" s="41" t="s">
        <v>45</v>
      </c>
      <c r="E19" s="38" t="n">
        <f aca="false">B19/C19</f>
        <v>380</v>
      </c>
      <c r="F19" s="38" t="n">
        <f aca="false">E19*(1 + MAIN!B17)</f>
        <v>380</v>
      </c>
      <c r="I19" s="0"/>
      <c r="J19" s="0"/>
    </row>
    <row r="20" customFormat="false" ht="17.35" hidden="false" customHeight="false" outlineLevel="0" collapsed="false">
      <c r="A20" s="30" t="s">
        <v>52</v>
      </c>
      <c r="B20" s="38" t="n">
        <v>18750</v>
      </c>
      <c r="C20" s="41" t="n">
        <v>25</v>
      </c>
      <c r="D20" s="41" t="s">
        <v>45</v>
      </c>
      <c r="E20" s="38" t="n">
        <f aca="false">B20/C20</f>
        <v>750</v>
      </c>
      <c r="F20" s="38" t="n">
        <f aca="false">E20*(1 + MAIN!B18)</f>
        <v>750</v>
      </c>
      <c r="I20" s="0"/>
      <c r="J20" s="0"/>
    </row>
    <row r="21" customFormat="false" ht="17.35" hidden="false" customHeight="false" outlineLevel="0" collapsed="false">
      <c r="A21" s="30" t="s">
        <v>53</v>
      </c>
      <c r="B21" s="38" t="n">
        <v>10250</v>
      </c>
      <c r="C21" s="41" t="n">
        <v>50</v>
      </c>
      <c r="D21" s="41" t="s">
        <v>45</v>
      </c>
      <c r="E21" s="38" t="n">
        <f aca="false">B21/C21</f>
        <v>205</v>
      </c>
      <c r="F21" s="38" t="n">
        <f aca="false">E21*(1 + MAIN!B19)</f>
        <v>205</v>
      </c>
      <c r="I21" s="0"/>
      <c r="J21" s="0"/>
    </row>
    <row r="22" customFormat="false" ht="17.35" hidden="false" customHeight="false" outlineLevel="0" collapsed="false">
      <c r="A22" s="30" t="s">
        <v>54</v>
      </c>
      <c r="B22" s="38" t="n">
        <v>12000</v>
      </c>
      <c r="C22" s="41" t="n">
        <v>20</v>
      </c>
      <c r="D22" s="41" t="s">
        <v>45</v>
      </c>
      <c r="E22" s="38" t="n">
        <f aca="false">B22/C22</f>
        <v>600</v>
      </c>
      <c r="F22" s="38" t="n">
        <f aca="false">E22*(1 + MAIN!B20)</f>
        <v>600</v>
      </c>
      <c r="I22" s="0"/>
      <c r="J22" s="0"/>
    </row>
    <row r="23" customFormat="false" ht="17.35" hidden="false" customHeight="false" outlineLevel="0" collapsed="false">
      <c r="A23" s="30" t="s">
        <v>55</v>
      </c>
      <c r="B23" s="38" t="n">
        <v>13500</v>
      </c>
      <c r="C23" s="41" t="n">
        <v>15</v>
      </c>
      <c r="D23" s="41" t="s">
        <v>56</v>
      </c>
      <c r="E23" s="38" t="n">
        <f aca="false">B23/C23</f>
        <v>900</v>
      </c>
      <c r="F23" s="38" t="n">
        <f aca="false">E23*(1 + MAIN!B21)</f>
        <v>900</v>
      </c>
    </row>
    <row r="24" customFormat="false" ht="17.35" hidden="false" customHeight="false" outlineLevel="0" collapsed="false">
      <c r="E24" s="38"/>
      <c r="F24" s="38"/>
    </row>
    <row r="25" customFormat="false" ht="17.35" hidden="false" customHeight="false" outlineLevel="0" collapsed="false">
      <c r="A25" s="39" t="s">
        <v>57</v>
      </c>
      <c r="B25" s="39" t="s">
        <v>1</v>
      </c>
      <c r="E25" s="38"/>
      <c r="F25" s="38"/>
    </row>
    <row r="26" customFormat="false" ht="17.35" hidden="false" customHeight="false" outlineLevel="0" collapsed="false">
      <c r="A26" s="30" t="s">
        <v>58</v>
      </c>
      <c r="B26" s="38" t="n">
        <v>17500</v>
      </c>
      <c r="C26" s="30" t="n">
        <v>125</v>
      </c>
      <c r="D26" s="30" t="s">
        <v>50</v>
      </c>
      <c r="E26" s="38" t="n">
        <f aca="false">B26/C26</f>
        <v>140</v>
      </c>
      <c r="F26" s="38" t="n">
        <f aca="false">E26*(1 + MAIN!B24)</f>
        <v>140</v>
      </c>
      <c r="G26" s="0"/>
    </row>
    <row r="27" customFormat="false" ht="17.35" hidden="false" customHeight="false" outlineLevel="0" collapsed="false">
      <c r="A27" s="30" t="s">
        <v>59</v>
      </c>
      <c r="B27" s="38" t="n">
        <v>5250</v>
      </c>
      <c r="C27" s="30" t="n">
        <v>75</v>
      </c>
      <c r="D27" s="30" t="s">
        <v>50</v>
      </c>
      <c r="E27" s="38" t="n">
        <f aca="false">B27/C27</f>
        <v>70</v>
      </c>
      <c r="F27" s="38" t="n">
        <f aca="false">E27*(1 + MAIN!B25)</f>
        <v>70</v>
      </c>
      <c r="G27" s="0"/>
    </row>
    <row r="28" customFormat="false" ht="17.35" hidden="false" customHeight="false" outlineLevel="0" collapsed="false">
      <c r="A28" s="30" t="s">
        <v>60</v>
      </c>
      <c r="B28" s="38" t="n">
        <v>11950</v>
      </c>
      <c r="C28" s="30" t="n">
        <v>850</v>
      </c>
      <c r="D28" s="30" t="s">
        <v>61</v>
      </c>
      <c r="E28" s="38" t="n">
        <f aca="false">B28/C28</f>
        <v>14.0588235294118</v>
      </c>
      <c r="F28" s="38" t="n">
        <f aca="false">E28*(1 + MAIN!B26)</f>
        <v>14.0588235294118</v>
      </c>
      <c r="G28" s="0"/>
    </row>
    <row r="29" customFormat="false" ht="17.35" hidden="false" customHeight="false" outlineLevel="0" collapsed="false">
      <c r="A29" s="30" t="s">
        <v>62</v>
      </c>
      <c r="B29" s="38" t="n">
        <v>7300</v>
      </c>
      <c r="C29" s="30" t="n">
        <v>180</v>
      </c>
      <c r="D29" s="30" t="s">
        <v>50</v>
      </c>
      <c r="E29" s="38" t="n">
        <f aca="false">B29/C29</f>
        <v>40.5555555555556</v>
      </c>
      <c r="F29" s="38" t="n">
        <f aca="false">E29*(1 + MAIN!B27)</f>
        <v>40.5555555555556</v>
      </c>
      <c r="G29" s="0"/>
    </row>
    <row r="31" customFormat="false" ht="17.35" hidden="false" customHeight="false" outlineLevel="0" collapsed="false">
      <c r="A31" s="39" t="s">
        <v>63</v>
      </c>
      <c r="B31" s="39" t="s">
        <v>1</v>
      </c>
    </row>
    <row r="32" customFormat="false" ht="17.35" hidden="false" customHeight="false" outlineLevel="0" collapsed="false">
      <c r="A32" s="30" t="s">
        <v>64</v>
      </c>
      <c r="B32" s="38" t="n">
        <v>2500</v>
      </c>
    </row>
    <row r="33" customFormat="false" ht="17.35" hidden="false" customHeight="false" outlineLevel="0" collapsed="false">
      <c r="A33" s="30" t="s">
        <v>65</v>
      </c>
      <c r="B33" s="38" t="n">
        <v>6750</v>
      </c>
    </row>
    <row r="34" customFormat="false" ht="17.35" hidden="false" customHeight="false" outlineLevel="0" collapsed="false">
      <c r="A34" s="30" t="s">
        <v>66</v>
      </c>
      <c r="B34" s="38" t="n">
        <v>8500</v>
      </c>
    </row>
    <row r="35" customFormat="false" ht="17.35" hidden="false" customHeight="false" outlineLevel="0" collapsed="false">
      <c r="A35" s="30" t="s">
        <v>67</v>
      </c>
      <c r="B35" s="38" t="n">
        <v>7250</v>
      </c>
    </row>
    <row r="36" customFormat="false" ht="17.35" hidden="false" customHeight="false" outlineLevel="0" collapsed="false">
      <c r="A36" s="30" t="s">
        <v>68</v>
      </c>
      <c r="B36" s="38" t="n">
        <v>5500</v>
      </c>
    </row>
    <row r="37" customFormat="false" ht="17.35" hidden="false" customHeight="false" outlineLevel="0" collapsed="false">
      <c r="A37" s="30" t="s">
        <v>69</v>
      </c>
      <c r="B37" s="38" t="n">
        <v>5250</v>
      </c>
    </row>
    <row r="38" customFormat="false" ht="17.35" hidden="false" customHeight="false" outlineLevel="0" collapsed="false">
      <c r="A38" s="30" t="s">
        <v>70</v>
      </c>
      <c r="B38" s="38" t="n">
        <v>3750</v>
      </c>
    </row>
    <row r="39" customFormat="false" ht="17.35" hidden="false" customHeight="false" outlineLevel="0" collapsed="false">
      <c r="A39" s="30" t="s">
        <v>71</v>
      </c>
      <c r="B39" s="38" t="n">
        <v>4500</v>
      </c>
    </row>
    <row r="40" customFormat="false" ht="17.35" hidden="false" customHeight="false" outlineLevel="0" collapsed="false">
      <c r="A40" s="30" t="s">
        <v>72</v>
      </c>
      <c r="B40" s="38" t="n">
        <v>5000</v>
      </c>
    </row>
    <row r="42" customFormat="false" ht="17.35" hidden="false" customHeight="false" outlineLevel="0" collapsed="false">
      <c r="A42" s="39" t="s">
        <v>73</v>
      </c>
      <c r="B42" s="39" t="s">
        <v>1</v>
      </c>
    </row>
    <row r="43" customFormat="false" ht="17.35" hidden="false" customHeight="false" outlineLevel="0" collapsed="false">
      <c r="A43" s="30" t="s">
        <v>74</v>
      </c>
      <c r="B43" s="38" t="n">
        <v>3000</v>
      </c>
    </row>
    <row r="44" customFormat="false" ht="17.35" hidden="false" customHeight="false" outlineLevel="0" collapsed="false">
      <c r="A44" s="30" t="s">
        <v>75</v>
      </c>
      <c r="B44" s="38" t="n">
        <v>750</v>
      </c>
    </row>
    <row r="45" customFormat="false" ht="17.35" hidden="false" customHeight="false" outlineLevel="0" collapsed="false">
      <c r="A45" s="30" t="s">
        <v>76</v>
      </c>
      <c r="B45" s="38" t="n">
        <v>100</v>
      </c>
    </row>
    <row r="47" customFormat="false" ht="17.35" hidden="false" customHeight="false" outlineLevel="0" collapsed="false">
      <c r="A47" s="39" t="s">
        <v>77</v>
      </c>
      <c r="B47" s="39" t="s">
        <v>1</v>
      </c>
    </row>
    <row r="48" customFormat="false" ht="17.35" hidden="false" customHeight="false" outlineLevel="0" collapsed="false">
      <c r="A48" s="30" t="s">
        <v>78</v>
      </c>
      <c r="B48" s="38" t="n">
        <v>4000</v>
      </c>
    </row>
    <row r="49" customFormat="false" ht="17.35" hidden="false" customHeight="false" outlineLevel="0" collapsed="false">
      <c r="A49" s="30" t="s">
        <v>79</v>
      </c>
      <c r="B49" s="38" t="n">
        <v>20000</v>
      </c>
    </row>
    <row r="50" customFormat="false" ht="17.35" hidden="false" customHeight="false" outlineLevel="0" collapsed="false">
      <c r="A50" s="30" t="s">
        <v>80</v>
      </c>
      <c r="B50" s="38" t="n">
        <v>7000</v>
      </c>
    </row>
    <row r="51" customFormat="false" ht="17.35" hidden="false" customHeight="false" outlineLevel="0" collapsed="false">
      <c r="A51" s="42" t="s">
        <v>81</v>
      </c>
      <c r="B51" s="38" t="n">
        <v>1000</v>
      </c>
    </row>
    <row r="52" customFormat="false" ht="17.35" hidden="false" customHeight="false" outlineLevel="0" collapsed="false">
      <c r="A52" s="42" t="s">
        <v>82</v>
      </c>
      <c r="B52" s="38" t="n">
        <v>5000</v>
      </c>
    </row>
    <row r="53" customFormat="false" ht="17.35" hidden="false" customHeight="false" outlineLevel="0" collapsed="false">
      <c r="A53" s="0"/>
    </row>
    <row r="54" customFormat="false" ht="17.35" hidden="false" customHeight="false" outlineLevel="0" collapsed="false">
      <c r="A54" s="39" t="s">
        <v>83</v>
      </c>
      <c r="B54" s="39" t="s">
        <v>1</v>
      </c>
    </row>
    <row r="55" customFormat="false" ht="17.35" hidden="false" customHeight="false" outlineLevel="0" collapsed="false">
      <c r="A55" s="41" t="s">
        <v>84</v>
      </c>
      <c r="B55" s="38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3" activeCellId="0" sqref="C13"/>
    </sheetView>
  </sheetViews>
  <sheetFormatPr defaultColWidth="11.53515625" defaultRowHeight="15.35" zeroHeight="false" outlineLevelRow="0" outlineLevelCol="0"/>
  <cols>
    <col collapsed="false" customWidth="true" hidden="false" outlineLevel="0" max="1" min="1" style="30" width="56.15"/>
    <col collapsed="false" customWidth="true" hidden="false" outlineLevel="0" max="2" min="2" style="30" width="32.25"/>
    <col collapsed="false" customWidth="true" hidden="false" outlineLevel="0" max="3" min="3" style="30" width="26.05"/>
    <col collapsed="false" customWidth="false" hidden="false" outlineLevel="0" max="16384" min="4" style="30" width="11.53"/>
  </cols>
  <sheetData>
    <row r="1" customFormat="false" ht="17.6" hidden="false" customHeight="true" outlineLevel="0" collapsed="false">
      <c r="A1" s="43" t="s">
        <v>17</v>
      </c>
      <c r="B1" s="43" t="s">
        <v>0</v>
      </c>
      <c r="C1" s="44" t="s">
        <v>1</v>
      </c>
    </row>
    <row r="2" customFormat="false" ht="17.35" hidden="false" customHeight="false" outlineLevel="0" collapsed="false">
      <c r="A2" s="45" t="s">
        <v>85</v>
      </c>
      <c r="B2" s="46" t="s">
        <v>86</v>
      </c>
      <c r="C2" s="19" t="n">
        <f aca="false">SUM(B18:B22)</f>
        <v>9650</v>
      </c>
    </row>
    <row r="3" customFormat="false" ht="17.35" hidden="false" customHeight="false" outlineLevel="0" collapsed="false">
      <c r="A3" s="45" t="s">
        <v>87</v>
      </c>
      <c r="B3" s="46" t="s">
        <v>86</v>
      </c>
      <c r="C3" s="19" t="n">
        <v>0</v>
      </c>
    </row>
    <row r="4" customFormat="false" ht="17.35" hidden="false" customHeight="false" outlineLevel="0" collapsed="false">
      <c r="A4" s="45" t="s">
        <v>88</v>
      </c>
      <c r="B4" s="46" t="s">
        <v>89</v>
      </c>
      <c r="C4" s="19" t="n">
        <v>0</v>
      </c>
    </row>
    <row r="5" customFormat="false" ht="17.35" hidden="false" customHeight="false" outlineLevel="0" collapsed="false">
      <c r="A5" s="45" t="s">
        <v>90</v>
      </c>
      <c r="B5" s="46" t="s">
        <v>89</v>
      </c>
      <c r="C5" s="19" t="n">
        <f aca="false">SUM(B25)</f>
        <v>200</v>
      </c>
    </row>
    <row r="6" customFormat="false" ht="17.35" hidden="false" customHeight="false" outlineLevel="0" collapsed="false">
      <c r="A6" s="45" t="s">
        <v>91</v>
      </c>
      <c r="B6" s="46" t="s">
        <v>89</v>
      </c>
      <c r="C6" s="19" t="n">
        <v>0</v>
      </c>
    </row>
    <row r="7" customFormat="false" ht="17.35" hidden="false" customHeight="false" outlineLevel="0" collapsed="false">
      <c r="A7" s="45" t="s">
        <v>92</v>
      </c>
      <c r="B7" s="46" t="s">
        <v>89</v>
      </c>
      <c r="C7" s="19" t="n">
        <f aca="false">SUM(B28:B32)</f>
        <v>1040</v>
      </c>
    </row>
    <row r="8" customFormat="false" ht="17.35" hidden="false" customHeight="false" outlineLevel="0" collapsed="false">
      <c r="A8" s="45" t="s">
        <v>93</v>
      </c>
      <c r="B8" s="46" t="s">
        <v>94</v>
      </c>
      <c r="C8" s="19" t="n">
        <v>1200</v>
      </c>
    </row>
    <row r="9" customFormat="false" ht="17.35" hidden="false" customHeight="false" outlineLevel="0" collapsed="false">
      <c r="A9" s="47" t="s">
        <v>95</v>
      </c>
      <c r="B9" s="46" t="s">
        <v>96</v>
      </c>
      <c r="C9" s="19" t="n">
        <f aca="false">SUM(B35:B39)</f>
        <v>700</v>
      </c>
    </row>
    <row r="10" customFormat="false" ht="17.35" hidden="false" customHeight="false" outlineLevel="0" collapsed="false">
      <c r="A10" s="45" t="s">
        <v>97</v>
      </c>
      <c r="B10" s="46" t="s">
        <v>96</v>
      </c>
      <c r="C10" s="19" t="n">
        <f aca="false">SUM(B42:B44)</f>
        <v>1100</v>
      </c>
    </row>
    <row r="11" customFormat="false" ht="17.35" hidden="false" customHeight="false" outlineLevel="0" collapsed="false">
      <c r="A11" s="45" t="s">
        <v>98</v>
      </c>
      <c r="B11" s="46" t="s">
        <v>34</v>
      </c>
      <c r="C11" s="19" t="n">
        <f aca="false">SUM(B46:B47)</f>
        <v>2400</v>
      </c>
    </row>
    <row r="12" customFormat="false" ht="17.35" hidden="false" customHeight="false" outlineLevel="0" collapsed="false">
      <c r="A12" s="48" t="s">
        <v>99</v>
      </c>
      <c r="B12" s="49" t="s">
        <v>34</v>
      </c>
      <c r="C12" s="22" t="n">
        <v>0</v>
      </c>
    </row>
    <row r="13" customFormat="false" ht="17.35" hidden="false" customHeight="false" outlineLevel="0" collapsed="false">
      <c r="A13" s="35" t="s">
        <v>26</v>
      </c>
      <c r="B13" s="35"/>
      <c r="C13" s="36" t="n">
        <f aca="false">SUM(C2:C12)</f>
        <v>16290</v>
      </c>
    </row>
    <row r="14" customFormat="false" ht="15.35" hidden="false" customHeight="false" outlineLevel="0" collapsed="false">
      <c r="A14" s="0"/>
      <c r="B14" s="0"/>
      <c r="C14" s="0"/>
    </row>
    <row r="15" customFormat="false" ht="15.35" hidden="false" customHeight="false" outlineLevel="0" collapsed="false">
      <c r="A15" s="0"/>
      <c r="B15" s="0"/>
    </row>
    <row r="16" customFormat="false" ht="15.35" hidden="false" customHeight="false" outlineLevel="0" collapsed="false">
      <c r="A16" s="30" t="s">
        <v>100</v>
      </c>
    </row>
    <row r="17" customFormat="false" ht="15.35" hidden="false" customHeight="false" outlineLevel="0" collapsed="false">
      <c r="A17" s="39" t="s">
        <v>101</v>
      </c>
      <c r="B17" s="39" t="s">
        <v>1</v>
      </c>
    </row>
    <row r="18" customFormat="false" ht="15.35" hidden="false" customHeight="false" outlineLevel="0" collapsed="false">
      <c r="A18" s="30" t="s">
        <v>102</v>
      </c>
      <c r="B18" s="38" t="n">
        <v>1450</v>
      </c>
    </row>
    <row r="19" customFormat="false" ht="15.35" hidden="false" customHeight="false" outlineLevel="0" collapsed="false">
      <c r="A19" s="30" t="s">
        <v>103</v>
      </c>
      <c r="B19" s="38" t="n">
        <v>1600</v>
      </c>
    </row>
    <row r="20" customFormat="false" ht="15.35" hidden="false" customHeight="false" outlineLevel="0" collapsed="false">
      <c r="A20" s="30" t="s">
        <v>104</v>
      </c>
      <c r="B20" s="38" t="n">
        <v>1900</v>
      </c>
    </row>
    <row r="21" customFormat="false" ht="15.35" hidden="false" customHeight="false" outlineLevel="0" collapsed="false">
      <c r="A21" s="30" t="s">
        <v>105</v>
      </c>
      <c r="B21" s="38" t="n">
        <v>2200</v>
      </c>
    </row>
    <row r="22" customFormat="false" ht="15.35" hidden="false" customHeight="false" outlineLevel="0" collapsed="false">
      <c r="A22" s="30" t="s">
        <v>106</v>
      </c>
      <c r="B22" s="38" t="n">
        <v>2500</v>
      </c>
    </row>
    <row r="24" customFormat="false" ht="15.35" hidden="false" customHeight="false" outlineLevel="0" collapsed="false">
      <c r="A24" s="39" t="s">
        <v>107</v>
      </c>
      <c r="B24" s="39" t="s">
        <v>1</v>
      </c>
    </row>
    <row r="25" customFormat="false" ht="15.35" hidden="false" customHeight="false" outlineLevel="0" collapsed="false">
      <c r="A25" s="30" t="s">
        <v>108</v>
      </c>
      <c r="B25" s="38" t="n">
        <v>200</v>
      </c>
    </row>
    <row r="27" customFormat="false" ht="15.35" hidden="false" customHeight="false" outlineLevel="0" collapsed="false">
      <c r="A27" s="50" t="s">
        <v>109</v>
      </c>
      <c r="B27" s="39" t="s">
        <v>1</v>
      </c>
    </row>
    <row r="28" customFormat="false" ht="17.35" hidden="false" customHeight="false" outlineLevel="0" collapsed="false">
      <c r="A28" s="51" t="s">
        <v>110</v>
      </c>
      <c r="B28" s="38" t="n">
        <v>150</v>
      </c>
    </row>
    <row r="29" customFormat="false" ht="15.35" hidden="false" customHeight="false" outlineLevel="0" collapsed="false">
      <c r="A29" s="30" t="s">
        <v>111</v>
      </c>
      <c r="B29" s="38" t="n">
        <v>100</v>
      </c>
    </row>
    <row r="30" customFormat="false" ht="17.35" hidden="false" customHeight="false" outlineLevel="0" collapsed="false">
      <c r="A30" s="51" t="s">
        <v>112</v>
      </c>
      <c r="B30" s="38" t="n">
        <v>400</v>
      </c>
    </row>
    <row r="31" customFormat="false" ht="15.35" hidden="false" customHeight="false" outlineLevel="0" collapsed="false">
      <c r="A31" s="30" t="s">
        <v>113</v>
      </c>
      <c r="B31" s="38" t="n">
        <v>300</v>
      </c>
    </row>
    <row r="32" customFormat="false" ht="15.35" hidden="false" customHeight="false" outlineLevel="0" collapsed="false">
      <c r="A32" s="30" t="s">
        <v>114</v>
      </c>
      <c r="B32" s="38" t="n">
        <v>90</v>
      </c>
    </row>
    <row r="34" customFormat="false" ht="15.35" hidden="false" customHeight="false" outlineLevel="0" collapsed="false">
      <c r="A34" s="50" t="s">
        <v>115</v>
      </c>
      <c r="B34" s="39" t="s">
        <v>1</v>
      </c>
    </row>
    <row r="35" customFormat="false" ht="15.35" hidden="false" customHeight="false" outlineLevel="0" collapsed="false">
      <c r="A35" s="30" t="s">
        <v>116</v>
      </c>
      <c r="B35" s="38" t="n">
        <v>250</v>
      </c>
    </row>
    <row r="36" customFormat="false" ht="15.35" hidden="false" customHeight="false" outlineLevel="0" collapsed="false">
      <c r="A36" s="30" t="s">
        <v>117</v>
      </c>
      <c r="B36" s="38" t="n">
        <v>150</v>
      </c>
    </row>
    <row r="37" customFormat="false" ht="15.35" hidden="false" customHeight="false" outlineLevel="0" collapsed="false">
      <c r="A37" s="30" t="s">
        <v>118</v>
      </c>
      <c r="B37" s="38" t="n">
        <v>100</v>
      </c>
    </row>
    <row r="38" customFormat="false" ht="15.35" hidden="false" customHeight="false" outlineLevel="0" collapsed="false">
      <c r="A38" s="30" t="s">
        <v>119</v>
      </c>
      <c r="B38" s="38" t="n">
        <v>100</v>
      </c>
    </row>
    <row r="39" customFormat="false" ht="15.35" hidden="false" customHeight="false" outlineLevel="0" collapsed="false">
      <c r="A39" s="30" t="s">
        <v>120</v>
      </c>
      <c r="B39" s="38" t="n">
        <v>100</v>
      </c>
    </row>
    <row r="40" customFormat="false" ht="15.35" hidden="false" customHeight="false" outlineLevel="0" collapsed="false">
      <c r="A40" s="0"/>
      <c r="B40" s="0"/>
    </row>
    <row r="41" customFormat="false" ht="15.35" hidden="false" customHeight="false" outlineLevel="0" collapsed="false">
      <c r="A41" s="50" t="s">
        <v>121</v>
      </c>
      <c r="B41" s="39" t="s">
        <v>1</v>
      </c>
    </row>
    <row r="42" customFormat="false" ht="15.35" hidden="false" customHeight="false" outlineLevel="0" collapsed="false">
      <c r="A42" s="30" t="s">
        <v>122</v>
      </c>
      <c r="B42" s="38" t="n">
        <v>350</v>
      </c>
    </row>
    <row r="43" customFormat="false" ht="15.35" hidden="false" customHeight="false" outlineLevel="0" collapsed="false">
      <c r="A43" s="30" t="s">
        <v>123</v>
      </c>
      <c r="B43" s="38" t="n">
        <v>750</v>
      </c>
    </row>
    <row r="44" customFormat="false" ht="15.35" hidden="false" customHeight="false" outlineLevel="0" collapsed="false">
      <c r="B44" s="38"/>
    </row>
    <row r="45" customFormat="false" ht="15.35" hidden="false" customHeight="false" outlineLevel="0" collapsed="false">
      <c r="A45" s="50" t="s">
        <v>124</v>
      </c>
      <c r="B45" s="39" t="s">
        <v>1</v>
      </c>
    </row>
    <row r="46" customFormat="false" ht="15.35" hidden="false" customHeight="false" outlineLevel="0" collapsed="false">
      <c r="A46" s="30" t="s">
        <v>125</v>
      </c>
      <c r="B46" s="38" t="n">
        <v>1350</v>
      </c>
    </row>
    <row r="47" customFormat="false" ht="15.35" hidden="false" customHeight="false" outlineLevel="0" collapsed="false">
      <c r="A47" s="30" t="s">
        <v>126</v>
      </c>
      <c r="B47" s="38" t="n">
        <v>1050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30" width="59.31"/>
    <col collapsed="false" customWidth="true" hidden="false" outlineLevel="0" max="2" min="2" style="30" width="28.07"/>
    <col collapsed="false" customWidth="false" hidden="false" outlineLevel="0" max="16384" min="3" style="30" width="11.53"/>
  </cols>
  <sheetData>
    <row r="1" customFormat="false" ht="17.35" hidden="false" customHeight="false" outlineLevel="0" collapsed="false">
      <c r="A1" s="3" t="s">
        <v>17</v>
      </c>
      <c r="B1" s="3" t="s">
        <v>1</v>
      </c>
    </row>
    <row r="2" customFormat="false" ht="17.35" hidden="false" customHeight="false" outlineLevel="0" collapsed="false">
      <c r="A2" s="31" t="s">
        <v>127</v>
      </c>
      <c r="B2" s="19" t="n">
        <v>0</v>
      </c>
    </row>
    <row r="3" customFormat="false" ht="17.35" hidden="false" customHeight="false" outlineLevel="0" collapsed="false">
      <c r="A3" s="31" t="s">
        <v>128</v>
      </c>
      <c r="B3" s="19" t="n">
        <v>0</v>
      </c>
    </row>
    <row r="4" customFormat="false" ht="17.35" hidden="false" customHeight="false" outlineLevel="0" collapsed="false">
      <c r="A4" s="31" t="s">
        <v>129</v>
      </c>
      <c r="B4" s="19" t="n">
        <v>0</v>
      </c>
    </row>
    <row r="5" customFormat="false" ht="17.35" hidden="false" customHeight="false" outlineLevel="0" collapsed="false">
      <c r="A5" s="31" t="s">
        <v>130</v>
      </c>
      <c r="B5" s="19" t="n">
        <v>0</v>
      </c>
    </row>
    <row r="6" customFormat="false" ht="17.35" hidden="false" customHeight="false" outlineLevel="0" collapsed="false">
      <c r="A6" s="31" t="s">
        <v>131</v>
      </c>
      <c r="B6" s="19" t="n">
        <v>0</v>
      </c>
    </row>
    <row r="7" customFormat="false" ht="17.35" hidden="false" customHeight="false" outlineLevel="0" collapsed="false">
      <c r="A7" s="33" t="s">
        <v>132</v>
      </c>
      <c r="B7" s="22" t="n">
        <v>0</v>
      </c>
    </row>
    <row r="8" customFormat="false" ht="17.35" hidden="false" customHeight="false" outlineLevel="0" collapsed="false">
      <c r="A8" s="35" t="s">
        <v>26</v>
      </c>
      <c r="B8" s="36" t="n">
        <f aca="false">SUM(B2:B7)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30" width="58.18"/>
    <col collapsed="false" customWidth="true" hidden="false" outlineLevel="0" max="2" min="2" style="30" width="21.12"/>
    <col collapsed="false" customWidth="false" hidden="false" outlineLevel="0" max="16384" min="3" style="30" width="11.53"/>
  </cols>
  <sheetData>
    <row r="1" customFormat="false" ht="17.35" hidden="false" customHeight="false" outlineLevel="0" collapsed="false">
      <c r="A1" s="3" t="s">
        <v>17</v>
      </c>
      <c r="B1" s="3" t="s">
        <v>1</v>
      </c>
    </row>
    <row r="2" customFormat="false" ht="17.35" hidden="false" customHeight="false" outlineLevel="0" collapsed="false">
      <c r="A2" s="31" t="s">
        <v>133</v>
      </c>
      <c r="B2" s="19" t="n">
        <v>0</v>
      </c>
    </row>
    <row r="3" customFormat="false" ht="17.35" hidden="false" customHeight="false" outlineLevel="0" collapsed="false">
      <c r="A3" s="31" t="s">
        <v>134</v>
      </c>
      <c r="B3" s="19" t="n">
        <v>0</v>
      </c>
    </row>
    <row r="4" customFormat="false" ht="17.35" hidden="false" customHeight="false" outlineLevel="0" collapsed="false">
      <c r="A4" s="31" t="s">
        <v>135</v>
      </c>
      <c r="B4" s="19" t="n">
        <v>0</v>
      </c>
    </row>
    <row r="5" customFormat="false" ht="17.35" hidden="false" customHeight="false" outlineLevel="0" collapsed="false">
      <c r="A5" s="31" t="s">
        <v>136</v>
      </c>
      <c r="B5" s="19" t="n">
        <v>0</v>
      </c>
    </row>
    <row r="6" customFormat="false" ht="17.35" hidden="false" customHeight="false" outlineLevel="0" collapsed="false">
      <c r="A6" s="33" t="s">
        <v>137</v>
      </c>
      <c r="B6" s="22" t="n">
        <v>0</v>
      </c>
    </row>
    <row r="7" customFormat="false" ht="17.35" hidden="false" customHeight="false" outlineLevel="0" collapsed="false">
      <c r="A7" s="35" t="s">
        <v>26</v>
      </c>
      <c r="B7" s="36" t="n">
        <f aca="false">SUM(B2:B6)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2026-09-17T17:17:59Z</dcterms:created>
  <dc:creator/>
  <dc:description/>
  <dc:language>en-US</dc:language>
  <cp:lastModifiedBy/>
  <dcterms:modified xsi:type="dcterms:W3CDTF">2026-09-18T07:06:50Z</dcterms:modified>
  <cp:revision>12</cp:revision>
  <dc:subject/>
  <dc:title/>
</cp:coreProperties>
</file>